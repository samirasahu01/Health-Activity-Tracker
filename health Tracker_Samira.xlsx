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 DO\"/>
    </mc:Choice>
  </mc:AlternateContent>
  <xr:revisionPtr revIDLastSave="0" documentId="13_ncr:1_{0A3413D9-BAB6-4E96-9D45-B59E5A3ED759}" xr6:coauthVersionLast="47" xr6:coauthVersionMax="47" xr10:uidLastSave="{00000000-0000-0000-0000-000000000000}"/>
  <bookViews>
    <workbookView xWindow="-120" yWindow="-120" windowWidth="29040" windowHeight="15720" xr2:uid="{9AC89FFF-9F8C-40B9-A5E7-CA4E136F3AE6}"/>
  </bookViews>
  <sheets>
    <sheet name="CBC" sheetId="1" r:id="rId1"/>
    <sheet name="FITNESS GOAL" sheetId="2" r:id="rId2"/>
    <sheet name="Vitamin and Mineral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G24" i="1"/>
  <c r="G25" i="1"/>
  <c r="G26" i="1"/>
  <c r="G27" i="1"/>
  <c r="G28" i="1"/>
  <c r="G29" i="1"/>
  <c r="D7" i="2"/>
  <c r="E7" i="2" s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6" i="2"/>
  <c r="E6" i="2" s="1"/>
  <c r="G7" i="1"/>
  <c r="G6" i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6" i="3"/>
  <c r="E6" i="3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D7" i="1"/>
  <c r="E7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6" i="1"/>
  <c r="E6" i="1" s="1"/>
</calcChain>
</file>

<file path=xl/sharedStrings.xml><?xml version="1.0" encoding="utf-8"?>
<sst xmlns="http://schemas.openxmlformats.org/spreadsheetml/2006/main" count="69" uniqueCount="34">
  <si>
    <t xml:space="preserve"> CBC (Complete Blood Count)</t>
  </si>
  <si>
    <t>Sr. No.</t>
  </si>
  <si>
    <t>Done Date</t>
  </si>
  <si>
    <t xml:space="preserve">Due Date </t>
  </si>
  <si>
    <t>Status</t>
  </si>
  <si>
    <t>Name of the Test</t>
  </si>
  <si>
    <t>Done By</t>
  </si>
  <si>
    <t>📋 COLOUR LEGEND</t>
  </si>
  <si>
    <t>🟢 GREEN</t>
  </si>
  <si>
    <t>🟡 YELLOW</t>
  </si>
  <si>
    <t>🔴 RED</t>
  </si>
  <si>
    <t>ℹ️ HOW TO USE</t>
  </si>
  <si>
    <t>Enter Done Date in column B as DD.MM.YYYY (e.g. 01.08.2026) → Due Date fills automatically → Colour updates live!</t>
  </si>
  <si>
    <t>RBC (Red Blood Cells)</t>
  </si>
  <si>
    <t>WBC (White Blood Cells)</t>
  </si>
  <si>
    <t>04.09.2026</t>
  </si>
  <si>
    <t>28.08.2026</t>
  </si>
  <si>
    <t>🔴 BLUE</t>
  </si>
  <si>
    <t>2 day or less remaining / Overdue — Urgent!</t>
  </si>
  <si>
    <t>3-4 days remaining — Take action soon</t>
  </si>
  <si>
    <t>Due Date is 5 or more than 5 days away — On Track</t>
  </si>
  <si>
    <t>Count</t>
  </si>
  <si>
    <t>01.09.2026</t>
  </si>
  <si>
    <t>03.09.2026</t>
  </si>
  <si>
    <t>If task is completed before</t>
  </si>
  <si>
    <t>Hemoglobin (Hb)</t>
  </si>
  <si>
    <t>Range Count</t>
  </si>
  <si>
    <t xml:space="preserve"> </t>
  </si>
  <si>
    <t>FITNESS GOAL</t>
  </si>
  <si>
    <t>Vitamin &amp; Mineral Tests</t>
  </si>
  <si>
    <t>Squat</t>
  </si>
  <si>
    <t>Bench Press</t>
  </si>
  <si>
    <t>Task was complted</t>
  </si>
  <si>
    <t>Task was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</si>
</sst>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1B5E8A"/>
      <name val="Arial"/>
      <charset val="1"/>
    </font>
    <font>
      <b/>
      <sz val="10"/>
      <color rgb="FF1A3300"/>
      <name val="Arial"/>
      <charset val="1"/>
    </font>
    <font>
      <sz val="10"/>
      <name val="Arial"/>
      <family val="2"/>
    </font>
    <font>
      <sz val="10"/>
      <name val="Arial"/>
      <charset val="1"/>
    </font>
    <font>
      <b/>
      <sz val="10"/>
      <color rgb="FF5C4000"/>
      <name val="Arial"/>
      <charset val="1"/>
    </font>
    <font>
      <b/>
      <sz val="10"/>
      <color rgb="FFFFFFFF"/>
      <name val="Arial"/>
      <charset val="1"/>
    </font>
    <font>
      <sz val="11"/>
      <color rgb="FF000000"/>
      <name val="Calibri"/>
      <family val="2"/>
      <charset val="1"/>
    </font>
    <font>
      <i/>
      <sz val="10"/>
      <color rgb="FF444444"/>
      <name val="Arial"/>
      <charset val="1"/>
    </font>
    <font>
      <sz val="8"/>
      <name val="Calibri"/>
      <family val="2"/>
      <scheme val="minor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69696"/>
      </patternFill>
    </fill>
    <fill>
      <patternFill patternType="solid">
        <fgColor rgb="FFFFEB3B"/>
        <bgColor rgb="FFFFFF00"/>
      </patternFill>
    </fill>
    <fill>
      <patternFill patternType="solid">
        <fgColor rgb="FFFF5252"/>
        <bgColor rgb="FFFF808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rgb="FFFF8080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0" fontId="11" fillId="8" borderId="0" xfId="0" applyFont="1" applyFill="1"/>
    <xf numFmtId="0" fontId="0" fillId="10" borderId="0" xfId="0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1" fillId="10" borderId="0" xfId="0" applyFont="1" applyFill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BC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'FITNESS GOAL'!A1"/><Relationship Id="rId4" Type="http://schemas.openxmlformats.org/officeDocument/2006/relationships/hyperlink" Target="#'Vitamin and Mineral Test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BC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'FITNESS GOAL'!A1"/><Relationship Id="rId4" Type="http://schemas.openxmlformats.org/officeDocument/2006/relationships/hyperlink" Target="#'Vitamin and Mineral Test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BC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'FITNESS GOAL'!A1"/><Relationship Id="rId4" Type="http://schemas.openxmlformats.org/officeDocument/2006/relationships/hyperlink" Target="#'Vitamin and Mineral Te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59871</xdr:rowOff>
    </xdr:from>
    <xdr:to>
      <xdr:col>3</xdr:col>
      <xdr:colOff>517072</xdr:colOff>
      <xdr:row>2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8BA2A4-989A-41A7-97E6-07EE93DA39F9}"/>
            </a:ext>
          </a:extLst>
        </xdr:cNvPr>
        <xdr:cNvSpPr/>
      </xdr:nvSpPr>
      <xdr:spPr>
        <a:xfrm>
          <a:off x="2209800" y="59871"/>
          <a:ext cx="1611086" cy="473529"/>
        </a:xfrm>
        <a:prstGeom prst="roundRect">
          <a:avLst/>
        </a:prstGeom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359227</xdr:colOff>
      <xdr:row>0</xdr:row>
      <xdr:rowOff>70758</xdr:rowOff>
    </xdr:from>
    <xdr:to>
      <xdr:col>7</xdr:col>
      <xdr:colOff>391885</xdr:colOff>
      <xdr:row>2</xdr:row>
      <xdr:rowOff>152401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855AE7A-1610-8991-D064-489CAE23270F}"/>
            </a:ext>
          </a:extLst>
        </xdr:cNvPr>
        <xdr:cNvSpPr/>
      </xdr:nvSpPr>
      <xdr:spPr>
        <a:xfrm>
          <a:off x="5568041" y="70758"/>
          <a:ext cx="1730830" cy="462643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576944</xdr:colOff>
      <xdr:row>0</xdr:row>
      <xdr:rowOff>59873</xdr:rowOff>
    </xdr:from>
    <xdr:to>
      <xdr:col>5</xdr:col>
      <xdr:colOff>293916</xdr:colOff>
      <xdr:row>2</xdr:row>
      <xdr:rowOff>146960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692C75D-7C18-C756-960D-E5037217499A}"/>
            </a:ext>
          </a:extLst>
        </xdr:cNvPr>
        <xdr:cNvSpPr/>
      </xdr:nvSpPr>
      <xdr:spPr>
        <a:xfrm>
          <a:off x="3880758" y="59873"/>
          <a:ext cx="1621972" cy="468087"/>
        </a:xfrm>
        <a:prstGeom prst="roundRect">
          <a:avLst/>
        </a:prstGeom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44905</xdr:colOff>
      <xdr:row>0</xdr:row>
      <xdr:rowOff>0</xdr:rowOff>
    </xdr:from>
    <xdr:to>
      <xdr:col>1</xdr:col>
      <xdr:colOff>55789</xdr:colOff>
      <xdr:row>3</xdr:row>
      <xdr:rowOff>48984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8A0B692-7E6F-C9BD-5A55-EA414D9C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05" y="0"/>
          <a:ext cx="620484" cy="620484"/>
        </a:xfrm>
        <a:prstGeom prst="rect">
          <a:avLst/>
        </a:prstGeom>
      </xdr:spPr>
    </xdr:pic>
    <xdr:clientData/>
  </xdr:twoCellAnchor>
  <xdr:twoCellAnchor>
    <xdr:from>
      <xdr:col>2</xdr:col>
      <xdr:colOff>631370</xdr:colOff>
      <xdr:row>0</xdr:row>
      <xdr:rowOff>141514</xdr:rowOff>
    </xdr:from>
    <xdr:to>
      <xdr:col>3</xdr:col>
      <xdr:colOff>429985</xdr:colOff>
      <xdr:row>2</xdr:row>
      <xdr:rowOff>70757</xdr:rowOff>
    </xdr:to>
    <xdr:sp macro="" textlink="">
      <xdr:nvSpPr>
        <xdr:cNvPr id="8" name="TextBox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3C15F5-A5E2-5DD8-509F-F1358B185A12}"/>
            </a:ext>
          </a:extLst>
        </xdr:cNvPr>
        <xdr:cNvSpPr txBox="1"/>
      </xdr:nvSpPr>
      <xdr:spPr>
        <a:xfrm>
          <a:off x="2231570" y="141514"/>
          <a:ext cx="1502229" cy="3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rgbClr val="FF0000"/>
              </a:solidFill>
            </a:rPr>
            <a:t>CBC</a:t>
          </a:r>
        </a:p>
      </xdr:txBody>
    </xdr:sp>
    <xdr:clientData/>
  </xdr:twoCellAnchor>
  <xdr:twoCellAnchor>
    <xdr:from>
      <xdr:col>1</xdr:col>
      <xdr:colOff>103413</xdr:colOff>
      <xdr:row>0</xdr:row>
      <xdr:rowOff>27214</xdr:rowOff>
    </xdr:from>
    <xdr:to>
      <xdr:col>2</xdr:col>
      <xdr:colOff>566057</xdr:colOff>
      <xdr:row>2</xdr:row>
      <xdr:rowOff>168729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074DEC3-938A-383D-D711-A3E057DEB348}"/>
            </a:ext>
          </a:extLst>
        </xdr:cNvPr>
        <xdr:cNvSpPr txBox="1"/>
      </xdr:nvSpPr>
      <xdr:spPr>
        <a:xfrm>
          <a:off x="713013" y="27214"/>
          <a:ext cx="1453244" cy="522515"/>
        </a:xfrm>
        <a:prstGeom prst="rect">
          <a:avLst/>
        </a:prstGeom>
        <a:noFill/>
        <a:ln w="9525" cmpd="sng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rgbClr val="FF0000"/>
              </a:solidFill>
            </a:rPr>
            <a:t>SAMIRA'S</a:t>
          </a:r>
          <a:br>
            <a:rPr lang="en-IN" sz="1200" b="1">
              <a:solidFill>
                <a:srgbClr val="FF0000"/>
              </a:solidFill>
            </a:rPr>
          </a:br>
          <a:r>
            <a:rPr lang="en-IN" sz="1200" b="1">
              <a:solidFill>
                <a:srgbClr val="FF0000"/>
              </a:solidFill>
            </a:rPr>
            <a:t>Health Tracker</a:t>
          </a:r>
        </a:p>
      </xdr:txBody>
    </xdr:sp>
    <xdr:clientData/>
  </xdr:twoCellAnchor>
  <xdr:twoCellAnchor>
    <xdr:from>
      <xdr:col>5</xdr:col>
      <xdr:colOff>473529</xdr:colOff>
      <xdr:row>0</xdr:row>
      <xdr:rowOff>81644</xdr:rowOff>
    </xdr:from>
    <xdr:to>
      <xdr:col>7</xdr:col>
      <xdr:colOff>304800</xdr:colOff>
      <xdr:row>2</xdr:row>
      <xdr:rowOff>136072</xdr:rowOff>
    </xdr:to>
    <xdr:sp macro="" textlink="">
      <xdr:nvSpPr>
        <xdr:cNvPr id="18" name="TextBox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CDC4D2-C0E0-5D83-F7B6-0F36E6A47DD6}"/>
            </a:ext>
          </a:extLst>
        </xdr:cNvPr>
        <xdr:cNvSpPr txBox="1"/>
      </xdr:nvSpPr>
      <xdr:spPr>
        <a:xfrm>
          <a:off x="5682343" y="81644"/>
          <a:ext cx="1529443" cy="435428"/>
        </a:xfrm>
        <a:prstGeom prst="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accent4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Vitamin &amp; Mineral Tests</a:t>
          </a:r>
          <a:endParaRPr lang="en-IN" b="1">
            <a:solidFill>
              <a:schemeClr val="accent4">
                <a:lumMod val="60000"/>
                <a:lumOff val="40000"/>
              </a:schemeClr>
            </a:solidFill>
            <a:effectLst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3</xdr:col>
      <xdr:colOff>691243</xdr:colOff>
      <xdr:row>0</xdr:row>
      <xdr:rowOff>174172</xdr:rowOff>
    </xdr:from>
    <xdr:to>
      <xdr:col>5</xdr:col>
      <xdr:colOff>234043</xdr:colOff>
      <xdr:row>2</xdr:row>
      <xdr:rowOff>65314</xdr:rowOff>
    </xdr:to>
    <xdr:sp macro="" textlink="">
      <xdr:nvSpPr>
        <xdr:cNvPr id="21" name="TextBox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94BD97-A66C-7515-D25B-0B6612762A50}"/>
            </a:ext>
          </a:extLst>
        </xdr:cNvPr>
        <xdr:cNvSpPr txBox="1"/>
      </xdr:nvSpPr>
      <xdr:spPr>
        <a:xfrm>
          <a:off x="3995057" y="174172"/>
          <a:ext cx="1447800" cy="272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FITNESS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GOAL</a:t>
          </a:r>
          <a:endParaRPr lang="en-IN" b="1">
            <a:effectLst/>
          </a:endParaRP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696686</xdr:colOff>
      <xdr:row>0</xdr:row>
      <xdr:rowOff>48985</xdr:rowOff>
    </xdr:from>
    <xdr:to>
      <xdr:col>4</xdr:col>
      <xdr:colOff>266700</xdr:colOff>
      <xdr:row>2</xdr:row>
      <xdr:rowOff>141514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91456A0-4AA6-41D0-AB8A-692356E76CAC}"/>
            </a:ext>
          </a:extLst>
        </xdr:cNvPr>
        <xdr:cNvSpPr/>
      </xdr:nvSpPr>
      <xdr:spPr>
        <a:xfrm>
          <a:off x="2002972" y="48985"/>
          <a:ext cx="1725385" cy="473529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261257</xdr:colOff>
      <xdr:row>0</xdr:row>
      <xdr:rowOff>65745</xdr:rowOff>
    </xdr:from>
    <xdr:to>
      <xdr:col>10</xdr:col>
      <xdr:colOff>217714</xdr:colOff>
      <xdr:row>2</xdr:row>
      <xdr:rowOff>147388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9F627A-E104-4BC8-9846-4F8A141A3A65}"/>
            </a:ext>
          </a:extLst>
        </xdr:cNvPr>
        <xdr:cNvSpPr/>
      </xdr:nvSpPr>
      <xdr:spPr>
        <a:xfrm>
          <a:off x="6128657" y="65745"/>
          <a:ext cx="1785257" cy="462643"/>
        </a:xfrm>
        <a:prstGeom prst="round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321130</xdr:colOff>
      <xdr:row>0</xdr:row>
      <xdr:rowOff>65745</xdr:rowOff>
    </xdr:from>
    <xdr:to>
      <xdr:col>7</xdr:col>
      <xdr:colOff>196230</xdr:colOff>
      <xdr:row>2</xdr:row>
      <xdr:rowOff>152832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3FC1885-C517-41B7-B9E3-E461A8E97E30}"/>
            </a:ext>
          </a:extLst>
        </xdr:cNvPr>
        <xdr:cNvSpPr/>
      </xdr:nvSpPr>
      <xdr:spPr>
        <a:xfrm>
          <a:off x="4000501" y="65745"/>
          <a:ext cx="2063129" cy="468087"/>
        </a:xfrm>
        <a:prstGeom prst="round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92530</xdr:colOff>
      <xdr:row>0</xdr:row>
      <xdr:rowOff>0</xdr:rowOff>
    </xdr:from>
    <xdr:to>
      <xdr:col>1</xdr:col>
      <xdr:colOff>103414</xdr:colOff>
      <xdr:row>3</xdr:row>
      <xdr:rowOff>48984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1D17EE4-E44E-472B-B60A-F8F883114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30" y="0"/>
          <a:ext cx="620484" cy="620484"/>
        </a:xfrm>
        <a:prstGeom prst="rect">
          <a:avLst/>
        </a:prstGeom>
      </xdr:spPr>
    </xdr:pic>
    <xdr:clientData/>
  </xdr:twoCellAnchor>
  <xdr:twoCellAnchor>
    <xdr:from>
      <xdr:col>2</xdr:col>
      <xdr:colOff>713016</xdr:colOff>
      <xdr:row>0</xdr:row>
      <xdr:rowOff>109717</xdr:rowOff>
    </xdr:from>
    <xdr:to>
      <xdr:col>4</xdr:col>
      <xdr:colOff>190501</xdr:colOff>
      <xdr:row>2</xdr:row>
      <xdr:rowOff>38960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2D57C8-B74C-4554-81E5-58CD1B9703FA}"/>
            </a:ext>
          </a:extLst>
        </xdr:cNvPr>
        <xdr:cNvSpPr txBox="1"/>
      </xdr:nvSpPr>
      <xdr:spPr>
        <a:xfrm>
          <a:off x="2019302" y="109717"/>
          <a:ext cx="1632856" cy="3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FF0000"/>
              </a:solidFill>
              <a:latin typeface="+mn-lt"/>
              <a:ea typeface="+mn-ea"/>
              <a:cs typeface="+mn-cs"/>
            </a:rPr>
            <a:t>CBC</a:t>
          </a:r>
        </a:p>
        <a:p>
          <a:pPr algn="ctr"/>
          <a:endParaRPr lang="en-IN" sz="18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103413</xdr:colOff>
      <xdr:row>0</xdr:row>
      <xdr:rowOff>27214</xdr:rowOff>
    </xdr:from>
    <xdr:to>
      <xdr:col>2</xdr:col>
      <xdr:colOff>566057</xdr:colOff>
      <xdr:row>2</xdr:row>
      <xdr:rowOff>168729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E6D131-B4BF-4107-B799-8839A6EDB755}"/>
            </a:ext>
          </a:extLst>
        </xdr:cNvPr>
        <xdr:cNvSpPr txBox="1"/>
      </xdr:nvSpPr>
      <xdr:spPr>
        <a:xfrm>
          <a:off x="713013" y="27214"/>
          <a:ext cx="1453244" cy="522515"/>
        </a:xfrm>
        <a:prstGeom prst="rect">
          <a:avLst/>
        </a:prstGeom>
        <a:noFill/>
        <a:ln w="9525" cmpd="sng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rgbClr val="FF0000"/>
              </a:solidFill>
            </a:rPr>
            <a:t>SAMIRA'S</a:t>
          </a:r>
          <a:br>
            <a:rPr lang="en-IN" sz="1200" b="1">
              <a:solidFill>
                <a:srgbClr val="FF0000"/>
              </a:solidFill>
            </a:rPr>
          </a:br>
          <a:r>
            <a:rPr lang="en-IN" sz="1200" b="1">
              <a:solidFill>
                <a:srgbClr val="FF0000"/>
              </a:solidFill>
            </a:rPr>
            <a:t>Health</a:t>
          </a:r>
          <a:r>
            <a:rPr lang="en-IN" sz="1200" b="1" baseline="0">
              <a:solidFill>
                <a:srgbClr val="FF0000"/>
              </a:solidFill>
            </a:rPr>
            <a:t> Tracker</a:t>
          </a:r>
          <a:endParaRPr lang="en-IN" sz="1200" b="1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315686</xdr:colOff>
      <xdr:row>0</xdr:row>
      <xdr:rowOff>48985</xdr:rowOff>
    </xdr:from>
    <xdr:ext cx="1670956" cy="691243"/>
    <xdr:sp macro="" textlink="">
      <xdr:nvSpPr>
        <xdr:cNvPr id="15" name="TextBox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F1B075-26B9-DD1B-1D35-760326177201}"/>
            </a:ext>
          </a:extLst>
        </xdr:cNvPr>
        <xdr:cNvSpPr txBox="1"/>
      </xdr:nvSpPr>
      <xdr:spPr>
        <a:xfrm>
          <a:off x="6183086" y="48985"/>
          <a:ext cx="1670956" cy="6912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400" b="1">
              <a:solidFill>
                <a:schemeClr val="accent4">
                  <a:lumMod val="60000"/>
                  <a:lumOff val="40000"/>
                </a:schemeClr>
              </a:solidFill>
            </a:rPr>
            <a:t>Vitamin &amp; Mineral Tests</a:t>
          </a:r>
        </a:p>
      </xdr:txBody>
    </xdr:sp>
    <xdr:clientData/>
  </xdr:oneCellAnchor>
  <xdr:twoCellAnchor>
    <xdr:from>
      <xdr:col>4</xdr:col>
      <xdr:colOff>702129</xdr:colOff>
      <xdr:row>0</xdr:row>
      <xdr:rowOff>146958</xdr:rowOff>
    </xdr:from>
    <xdr:to>
      <xdr:col>7</xdr:col>
      <xdr:colOff>277586</xdr:colOff>
      <xdr:row>2</xdr:row>
      <xdr:rowOff>92529</xdr:rowOff>
    </xdr:to>
    <xdr:sp macro="" textlink="">
      <xdr:nvSpPr>
        <xdr:cNvPr id="17" name="TextBox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77D43-0245-A576-93C5-E31F5FC4CBF6}"/>
            </a:ext>
          </a:extLst>
        </xdr:cNvPr>
        <xdr:cNvSpPr txBox="1"/>
      </xdr:nvSpPr>
      <xdr:spPr>
        <a:xfrm>
          <a:off x="4381500" y="146958"/>
          <a:ext cx="1763486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FITNESS GOAL</a:t>
          </a:r>
          <a:endParaRPr lang="en-I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696686</xdr:colOff>
      <xdr:row>0</xdr:row>
      <xdr:rowOff>48985</xdr:rowOff>
    </xdr:from>
    <xdr:to>
      <xdr:col>4</xdr:col>
      <xdr:colOff>266700</xdr:colOff>
      <xdr:row>2</xdr:row>
      <xdr:rowOff>141514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273991B-D1C9-408C-B1FD-7A9FD8BADCC1}"/>
            </a:ext>
          </a:extLst>
        </xdr:cNvPr>
        <xdr:cNvSpPr/>
      </xdr:nvSpPr>
      <xdr:spPr>
        <a:xfrm>
          <a:off x="2039711" y="48985"/>
          <a:ext cx="1903639" cy="473529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261257</xdr:colOff>
      <xdr:row>0</xdr:row>
      <xdr:rowOff>65745</xdr:rowOff>
    </xdr:from>
    <xdr:to>
      <xdr:col>10</xdr:col>
      <xdr:colOff>217714</xdr:colOff>
      <xdr:row>2</xdr:row>
      <xdr:rowOff>147388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89ED451-C3F0-4067-892A-4C077C3C78A1}"/>
            </a:ext>
          </a:extLst>
        </xdr:cNvPr>
        <xdr:cNvSpPr/>
      </xdr:nvSpPr>
      <xdr:spPr>
        <a:xfrm>
          <a:off x="6128657" y="65745"/>
          <a:ext cx="1785257" cy="462643"/>
        </a:xfrm>
        <a:prstGeom prst="round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321130</xdr:colOff>
      <xdr:row>0</xdr:row>
      <xdr:rowOff>65745</xdr:rowOff>
    </xdr:from>
    <xdr:to>
      <xdr:col>7</xdr:col>
      <xdr:colOff>196230</xdr:colOff>
      <xdr:row>2</xdr:row>
      <xdr:rowOff>152832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4AE9DB0-2A49-433E-B861-585964682633}"/>
            </a:ext>
          </a:extLst>
        </xdr:cNvPr>
        <xdr:cNvSpPr/>
      </xdr:nvSpPr>
      <xdr:spPr>
        <a:xfrm>
          <a:off x="3976349" y="65745"/>
          <a:ext cx="1821772" cy="468087"/>
        </a:xfrm>
        <a:prstGeom prst="round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92530</xdr:colOff>
      <xdr:row>0</xdr:row>
      <xdr:rowOff>0</xdr:rowOff>
    </xdr:from>
    <xdr:to>
      <xdr:col>1</xdr:col>
      <xdr:colOff>103414</xdr:colOff>
      <xdr:row>3</xdr:row>
      <xdr:rowOff>48984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C4B6B52-64E3-4FF4-B0B4-5E697D63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30" y="0"/>
          <a:ext cx="620484" cy="620484"/>
        </a:xfrm>
        <a:prstGeom prst="rect">
          <a:avLst/>
        </a:prstGeom>
      </xdr:spPr>
    </xdr:pic>
    <xdr:clientData/>
  </xdr:twoCellAnchor>
  <xdr:twoCellAnchor>
    <xdr:from>
      <xdr:col>2</xdr:col>
      <xdr:colOff>713016</xdr:colOff>
      <xdr:row>0</xdr:row>
      <xdr:rowOff>109717</xdr:rowOff>
    </xdr:from>
    <xdr:to>
      <xdr:col>4</xdr:col>
      <xdr:colOff>190501</xdr:colOff>
      <xdr:row>2</xdr:row>
      <xdr:rowOff>38960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ACAC00-C2ED-485D-BC9D-72374C772A32}"/>
            </a:ext>
          </a:extLst>
        </xdr:cNvPr>
        <xdr:cNvSpPr txBox="1"/>
      </xdr:nvSpPr>
      <xdr:spPr>
        <a:xfrm>
          <a:off x="2056041" y="109717"/>
          <a:ext cx="1811110" cy="3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FF0000"/>
              </a:solidFill>
              <a:latin typeface="+mn-lt"/>
              <a:ea typeface="+mn-ea"/>
              <a:cs typeface="+mn-cs"/>
            </a:rPr>
            <a:t>CBC</a:t>
          </a:r>
        </a:p>
        <a:p>
          <a:pPr algn="ctr"/>
          <a:endParaRPr lang="en-IN" sz="18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103413</xdr:colOff>
      <xdr:row>0</xdr:row>
      <xdr:rowOff>27214</xdr:rowOff>
    </xdr:from>
    <xdr:to>
      <xdr:col>2</xdr:col>
      <xdr:colOff>566057</xdr:colOff>
      <xdr:row>2</xdr:row>
      <xdr:rowOff>168729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7A5AE1-2C29-462A-9999-C505C07D2D8F}"/>
            </a:ext>
          </a:extLst>
        </xdr:cNvPr>
        <xdr:cNvSpPr txBox="1"/>
      </xdr:nvSpPr>
      <xdr:spPr>
        <a:xfrm>
          <a:off x="713013" y="27214"/>
          <a:ext cx="1196069" cy="522515"/>
        </a:xfrm>
        <a:prstGeom prst="rect">
          <a:avLst/>
        </a:prstGeom>
        <a:noFill/>
        <a:ln w="9525" cmpd="sng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rgbClr val="FF0000"/>
              </a:solidFill>
            </a:rPr>
            <a:t>SAMIRA'S</a:t>
          </a:r>
          <a:br>
            <a:rPr lang="en-IN" sz="1200" b="1">
              <a:solidFill>
                <a:srgbClr val="FF0000"/>
              </a:solidFill>
            </a:rPr>
          </a:br>
          <a:r>
            <a:rPr lang="en-IN" sz="1200" b="1" baseline="0">
              <a:solidFill>
                <a:srgbClr val="FF0000"/>
              </a:solidFill>
            </a:rPr>
            <a:t>Health Tracker</a:t>
          </a:r>
          <a:endParaRPr lang="en-IN" sz="1200" b="1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315686</xdr:colOff>
      <xdr:row>0</xdr:row>
      <xdr:rowOff>48985</xdr:rowOff>
    </xdr:from>
    <xdr:ext cx="1670956" cy="691243"/>
    <xdr:sp macro="" textlink="">
      <xdr:nvSpPr>
        <xdr:cNvPr id="8" name="TextBox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B07FE6-36CA-4921-869A-4FF89895E19E}"/>
            </a:ext>
          </a:extLst>
        </xdr:cNvPr>
        <xdr:cNvSpPr txBox="1"/>
      </xdr:nvSpPr>
      <xdr:spPr>
        <a:xfrm>
          <a:off x="6183086" y="48985"/>
          <a:ext cx="1670956" cy="6912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400" b="1">
              <a:solidFill>
                <a:schemeClr val="accent4">
                  <a:lumMod val="60000"/>
                  <a:lumOff val="40000"/>
                </a:schemeClr>
              </a:solidFill>
            </a:rPr>
            <a:t>Vitamin &amp; Mineral Tests</a:t>
          </a:r>
        </a:p>
      </xdr:txBody>
    </xdr:sp>
    <xdr:clientData/>
  </xdr:oneCellAnchor>
  <xdr:twoCellAnchor>
    <xdr:from>
      <xdr:col>4</xdr:col>
      <xdr:colOff>594973</xdr:colOff>
      <xdr:row>0</xdr:row>
      <xdr:rowOff>129098</xdr:rowOff>
    </xdr:from>
    <xdr:to>
      <xdr:col>7</xdr:col>
      <xdr:colOff>170430</xdr:colOff>
      <xdr:row>2</xdr:row>
      <xdr:rowOff>74669</xdr:rowOff>
    </xdr:to>
    <xdr:sp macro="" textlink="">
      <xdr:nvSpPr>
        <xdr:cNvPr id="9" name="TextBox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D0B038-DFF2-402D-8DCF-A8FA259B0788}"/>
            </a:ext>
          </a:extLst>
        </xdr:cNvPr>
        <xdr:cNvSpPr txBox="1"/>
      </xdr:nvSpPr>
      <xdr:spPr>
        <a:xfrm>
          <a:off x="4250192" y="129098"/>
          <a:ext cx="1522129" cy="326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FITNESS GOAL</a:t>
          </a:r>
          <a:endParaRPr lang="en-IN" sz="14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05993-F28C-485F-8346-D43D83EE91F9}" name="Table1" displayName="Table1" ref="A5:G29" totalsRowShown="0" headerRowDxfId="13" tableBorderDxfId="12">
  <autoFilter ref="A5:G29" xr:uid="{64005993-F28C-485F-8346-D43D83EE91F9}"/>
  <tableColumns count="7">
    <tableColumn id="1" xr3:uid="{2D38C71D-87DA-43DA-B1D4-C1EB0F0CD588}" name="Sr. No."/>
    <tableColumn id="2" xr3:uid="{85F74EE7-27E8-41B8-98C4-126D31736ACC}" name="Done Date"/>
    <tableColumn id="3" xr3:uid="{FB2FC320-8B24-426B-8040-1596AF9554D5}" name="Name of the Test"/>
    <tableColumn id="4" xr3:uid="{0EC047EB-7ACA-484B-8E05-ACB753B37CD4}" name="Due Date " dataDxfId="16">
      <calculatedColumnFormula>IF(C6="","",IF(C6="RBC (Red Blood Cells)",DATE(VALUE(RIGHT(B6,4)),VALUE(MID(B6,4,2)),VALUE(LEFT(B6,2)))+3,IF(C6="WBC (White Blood Cells)",DATE(VALUE(RIGHT(B6,4)),VALUE(MID(B6,4,2)),VALUE(LEFT(B6,2)))+5,IF(C6="Hemoglobin (Hb)",DATE(VALUE(RIGHT(B6,4)),VALUE(MID(B6,4,2)),VALUE(LEFT(B6,2)))+7,""))))</calculatedColumnFormula>
    </tableColumn>
    <tableColumn id="5" xr3:uid="{AD7060F8-EA61-457E-A853-6190AAE44B69}" name="Status">
      <calculatedColumnFormula>IF(D6="","",IF(D6&lt;TODAY(),"BLUE",IF(D6-TODAY()&lt;=2,"🔴RED",IF(D6-TODAY()&lt;=4,"🟡YELLOW",IF(D6-TODAY()&gt;=5,"🟡GREEN""")))))</calculatedColumnFormula>
    </tableColumn>
    <tableColumn id="6" xr3:uid="{281EC298-8C4B-46B4-B3DE-6ADA7787A642}" name="Count"/>
    <tableColumn id="7" xr3:uid="{8C076A5C-0D1E-4842-8C41-2C9804970A74}" name="Range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465797-32AA-4FC7-A27C-E36E773E1BE1}" name="Table4" displayName="Table4" ref="A5:E23" totalsRowShown="0">
  <autoFilter ref="A5:E23" xr:uid="{5F465797-32AA-4FC7-A27C-E36E773E1BE1}"/>
  <tableColumns count="5">
    <tableColumn id="1" xr3:uid="{558C17BE-524C-4B2B-B1C8-3F5E975905E9}" name="Sr. No."/>
    <tableColumn id="2" xr3:uid="{7410432B-E1DA-45CE-AD4D-B87360A030EA}" name="Done Date"/>
    <tableColumn id="3" xr3:uid="{C73A5561-E9FE-4ADD-A6AC-2E874F8C92F0}" name="Name of the Test"/>
    <tableColumn id="4" xr3:uid="{5F72768D-90D7-4030-8D77-6E5FA56D3FAA}" name="Due Date " dataDxfId="15">
      <calculatedColumnFormula>IF(C6="","",IF(C6="Squat",DATE(VALUE(RIGHT(B6,4)),VALUE(MID(B6,4,2)),VALUE(LEFT(B6,2)))+3,IF(C6="Bench Press",DATE(VALUE(RIGHT(B6,4)),VALUE(MID(B6,4,2)),VALUE(LEFT(B6,2)))+5,IF(C6="Deadlift",DATE(VALUE(RIGHT(B6,4)),VALUE(MID(B6,4,2)),VALUE(LEFT(B6,2)))+7,""))))</calculatedColumnFormula>
    </tableColumn>
    <tableColumn id="5" xr3:uid="{6DF4D1C6-720E-4625-9B28-98E90C9C4BF9}" name="Status">
      <calculatedColumnFormula>IF('FITNESS GOAL'!D6="","",IF('FITNESS GOAL'!D6&lt;TODAY(),"BLUE",IF('FITNESS GOAL'!D6-TODAY()&lt;=2,"🔴RED",IF('FITNESS GOAL'!D6-TODAY()&lt;=4,"🟡YELLOW",IF('FITNESS GOAL'!D6-TODAY()&gt;=5,"🟡GREEN""")))))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13A09D-74CB-457C-B261-4680F5F10228}" name="Table6" displayName="Table6" ref="A5:F21" totalsRowShown="0">
  <autoFilter ref="A5:F21" xr:uid="{9D13A09D-74CB-457C-B261-4680F5F10228}"/>
  <tableColumns count="6">
    <tableColumn id="1" xr3:uid="{726CECC9-E20F-4FFC-AF7C-2301E508B24A}" name="Sr. No."/>
    <tableColumn id="2" xr3:uid="{52E1A92D-D5C5-438D-968A-DAF5104F865C}" name="Done Date"/>
    <tableColumn id="3" xr3:uid="{E2804E35-380E-4655-9E6D-3D5A09DD0FCA}" name="Name of the Test"/>
    <tableColumn id="4" xr3:uid="{8AAD9BEB-F1FD-4169-978B-07678694D6C0}" name="Due Date " dataDxfId="14">
      <calculatedColumnFormula>IF(C6="","",IF(C6="RBC (Red Blood Cells)",DATE(VALUE(RIGHT(B6,4)),VALUE(MID(B6,4,2)),VALUE(LEFT(B6,2)))+3,IF(C6="WBC (White Blood Cells)",DATE(VALUE(RIGHT(B6,4)),VALUE(MID(B6,4,2)),VALUE(LEFT(B6,2)))+5,IF(C6="Hemoglobin (Hb)",DATE(VALUE(RIGHT(B6,4)),VALUE(MID(B6,4,2)),VALUE(LEFT(B6,2)))+7,""))))</calculatedColumnFormula>
    </tableColumn>
    <tableColumn id="5" xr3:uid="{FCE39284-585A-4D37-AC98-4E134DAC0E77}" name="Status">
      <calculatedColumnFormula>IF(D6="","",IF(D6&lt;TODAY(),"BLUE",IF(D6-TODAY()&lt;=2,"🔴RED",IF(D6-TODAY()&lt;=4,"🟡YELLOW",IF(D6-TODAY()&gt;=5,"🟡GREEN""")))))</calculatedColumnFormula>
    </tableColumn>
    <tableColumn id="6" xr3:uid="{D262F177-E08A-4005-AE7D-61FDA1EB98C2}" name="Done B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6CF9-8C37-41BC-9414-563DAA05CD96}">
  <sheetPr>
    <tabColor theme="7"/>
  </sheetPr>
  <dimension ref="A1:Y29"/>
  <sheetViews>
    <sheetView tabSelected="1" zoomScale="145" zoomScaleNormal="145" workbookViewId="0">
      <pane ySplit="5" topLeftCell="A6" activePane="bottomLeft" state="frozen"/>
      <selection pane="bottomLeft" activeCell="A30" sqref="A30:XFD1048576"/>
    </sheetView>
  </sheetViews>
  <sheetFormatPr defaultRowHeight="15" x14ac:dyDescent="0.25"/>
  <cols>
    <col min="2" max="2" width="14.85546875" customWidth="1"/>
    <col min="3" max="3" width="25.5703125" customWidth="1"/>
    <col min="4" max="5" width="14.28515625" customWidth="1"/>
    <col min="6" max="6" width="21" customWidth="1"/>
    <col min="7" max="7" width="28.85546875" customWidth="1"/>
    <col min="8" max="8" width="20.28515625" bestFit="1" customWidth="1"/>
    <col min="9" max="9" width="15.7109375" customWidth="1"/>
    <col min="12" max="12" width="74.7109375" customWidth="1"/>
  </cols>
  <sheetData>
    <row r="1" spans="1:25" s="1" customFormat="1" x14ac:dyDescent="0.25"/>
    <row r="2" spans="1:25" s="1" customFormat="1" x14ac:dyDescent="0.25"/>
    <row r="3" spans="1:25" s="1" customFormat="1" x14ac:dyDescent="0.25"/>
    <row r="4" spans="1:25" ht="21" x14ac:dyDescent="0.35">
      <c r="A4" s="16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t="s">
        <v>1</v>
      </c>
      <c r="B5" t="s">
        <v>2</v>
      </c>
      <c r="C5" t="s">
        <v>5</v>
      </c>
      <c r="D5" t="s">
        <v>3</v>
      </c>
      <c r="E5" t="s">
        <v>4</v>
      </c>
      <c r="F5" t="s">
        <v>21</v>
      </c>
      <c r="G5" s="8" t="s">
        <v>26</v>
      </c>
      <c r="H5" s="3"/>
    </row>
    <row r="6" spans="1:25" x14ac:dyDescent="0.25">
      <c r="A6">
        <v>1</v>
      </c>
      <c r="B6" s="3" t="s">
        <v>22</v>
      </c>
      <c r="C6" t="s">
        <v>13</v>
      </c>
      <c r="D6" s="3">
        <f>IF(C6="","",IF(C6="RBC (Red Blood Cells)",DATE(VALUE(RIGHT(B6,4)),VALUE(MID(B6,4,2)),VALUE(LEFT(B6,2)))+3,IF(C6="WBC (White Blood Cells)",DATE(VALUE(RIGHT(B6,4)),VALUE(MID(B6,4,2)),VALUE(LEFT(B6,2)))+5,IF(C6="Hemoglobin (Hb)",DATE(VALUE(RIGHT(B6,4)),VALUE(MID(B6,4,2)),VALUE(LEFT(B6,2)))+7,""))))</f>
        <v>46269</v>
      </c>
      <c r="E6" t="str">
        <f ca="1">IF(D6="","",IF(D6&lt;TODAY(),"BLUE",IF(D6-TODAY()&lt;=2,"🔴RED",IF(D6-TODAY()&lt;=4,"🟡YELLOW",IF(D6-TODAY()&gt;=5,"🟡GREEN""")))))</f>
        <v>BLUE</v>
      </c>
      <c r="F6" s="7">
        <v>5.0999999999999996</v>
      </c>
      <c r="G6" t="str">
        <f>IF(C6="RBC (Red Blood Cells)","4.7 – 6.1 million cells/mcL",IF(C6="WBC (White Blood Cells)","4,500 – 11,000 cells/mcL",IF(C6="Hemoglobin (Hb)","13.8 – 17.2 g/dL","")))</f>
        <v>4.7 – 6.1 million cells/mcL</v>
      </c>
      <c r="H6" s="14" t="s">
        <v>7</v>
      </c>
      <c r="I6" s="14"/>
      <c r="J6" s="14"/>
      <c r="K6" s="14"/>
      <c r="L6" s="14"/>
    </row>
    <row r="7" spans="1:25" x14ac:dyDescent="0.25">
      <c r="A7">
        <v>2</v>
      </c>
      <c r="B7" s="3" t="s">
        <v>23</v>
      </c>
      <c r="C7" t="s">
        <v>13</v>
      </c>
      <c r="D7" s="3">
        <f>IF(C7="","",IF(C7="RBC (Red Blood Cells)",DATE(VALUE(RIGHT(B7,4)),VALUE(MID(B7,4,2)),VALUE(LEFT(B7,2)))+3,IF(C7="WBC (White Blood Cells)",DATE(VALUE(RIGHT(B7,4)),VALUE(MID(B7,4,2)),VALUE(LEFT(B7,2)))+5,IF(C7="Hemoglobin (Hb)",DATE(VALUE(RIGHT(B7,4)),VALUE(MID(B7,4,2)),VALUE(LEFT(B7,2)))+7,""))))</f>
        <v>46271</v>
      </c>
      <c r="E7" t="str">
        <f ca="1">IF(D7="","",IF(D7&lt;TODAY(),"BLUE",IF(D7-TODAY()&lt;=2,"🔴RED",IF(D7-TODAY()&lt;=4,"🟡YELLOW",IF(D7-TODAY()&gt;=5,"🟡GREEN""")))))</f>
        <v>🔴RED</v>
      </c>
      <c r="F7" s="7">
        <v>5.3</v>
      </c>
      <c r="G7" t="str">
        <f t="shared" ref="G7:G29" si="0">IF(C7="RBC (Red Blood Cells)","4.7 – 6.1 million cells/mcL",IF(C7="WBC (White Blood Cells)","4,500 – 11,000 cells/mcL",IF(C7="Hemoglobin (Hb)","13.8 – 17.2 g/dL","")))</f>
        <v>4.7 – 6.1 million cells/mcL</v>
      </c>
      <c r="H7" s="17" t="s">
        <v>8</v>
      </c>
      <c r="I7" s="18"/>
      <c r="J7" s="19" t="s">
        <v>20</v>
      </c>
      <c r="K7" s="20"/>
      <c r="L7" s="20"/>
    </row>
    <row r="8" spans="1:25" x14ac:dyDescent="0.25">
      <c r="A8">
        <v>3</v>
      </c>
      <c r="B8" s="3" t="s">
        <v>23</v>
      </c>
      <c r="C8" t="s">
        <v>14</v>
      </c>
      <c r="D8" s="3">
        <f t="shared" ref="D8:D22" si="1">IF(C8="","",IF(C8="RBC (Red Blood Cells)",DATE(VALUE(RIGHT(B8,4)),VALUE(MID(B8,4,2)),VALUE(LEFT(B8,2)))+3,IF(C8="WBC (White Blood Cells)",DATE(VALUE(RIGHT(B8,4)),VALUE(MID(B8,4,2)),VALUE(LEFT(B8,2)))+5,IF(C8="Hemoglobin (Hb)",DATE(VALUE(RIGHT(B8,4)),VALUE(MID(B8,4,2)),VALUE(LEFT(B8,2)))+7,""))))</f>
        <v>46273</v>
      </c>
      <c r="E8" t="str">
        <f t="shared" ref="E8:E21" ca="1" si="2">IF(D8="","",IF(D8&lt;TODAY(),"BLUE",IF(D8-TODAY()&lt;=2,"🔴RED",IF(D8-TODAY()&lt;=4,"🟡YELLOW",IF(D8-TODAY()&gt;=5,"🟡GREEN""")))))</f>
        <v>🔴RED</v>
      </c>
      <c r="F8" s="7">
        <v>5005</v>
      </c>
      <c r="G8" t="str">
        <f t="shared" si="0"/>
        <v>4,500 – 11,000 cells/mcL</v>
      </c>
      <c r="H8" s="21" t="s">
        <v>9</v>
      </c>
      <c r="I8" s="22"/>
      <c r="J8" s="19" t="s">
        <v>19</v>
      </c>
      <c r="K8" s="20"/>
      <c r="L8" s="20"/>
    </row>
    <row r="9" spans="1:25" x14ac:dyDescent="0.25">
      <c r="A9">
        <v>4</v>
      </c>
      <c r="B9" s="3" t="s">
        <v>15</v>
      </c>
      <c r="C9" t="s">
        <v>25</v>
      </c>
      <c r="D9" s="3">
        <f t="shared" si="1"/>
        <v>46276</v>
      </c>
      <c r="E9" t="str">
        <f t="shared" ca="1" si="2"/>
        <v>🟡GREEN"</v>
      </c>
      <c r="F9" s="7">
        <v>15</v>
      </c>
      <c r="G9" t="str">
        <f t="shared" si="0"/>
        <v>13.8 – 17.2 g/dL</v>
      </c>
      <c r="H9" s="10" t="s">
        <v>10</v>
      </c>
      <c r="I9" s="11"/>
      <c r="J9" s="12" t="s">
        <v>18</v>
      </c>
      <c r="K9" s="13"/>
      <c r="L9" s="13"/>
    </row>
    <row r="10" spans="1:25" x14ac:dyDescent="0.25">
      <c r="A10">
        <v>5</v>
      </c>
      <c r="B10" s="3"/>
      <c r="D10" s="3" t="str">
        <f t="shared" si="1"/>
        <v/>
      </c>
      <c r="E10" t="str">
        <f t="shared" ca="1" si="2"/>
        <v/>
      </c>
      <c r="F10" t="s">
        <v>27</v>
      </c>
      <c r="G10" t="str">
        <f t="shared" si="0"/>
        <v/>
      </c>
      <c r="H10" s="23" t="s">
        <v>17</v>
      </c>
      <c r="I10" s="24"/>
      <c r="J10" s="12" t="s">
        <v>24</v>
      </c>
      <c r="K10" s="13"/>
      <c r="L10" s="13"/>
    </row>
    <row r="11" spans="1:25" x14ac:dyDescent="0.25">
      <c r="A11">
        <v>6</v>
      </c>
      <c r="D11" s="3" t="str">
        <f t="shared" si="1"/>
        <v/>
      </c>
      <c r="E11" t="str">
        <f t="shared" ca="1" si="2"/>
        <v/>
      </c>
      <c r="G11" t="str">
        <f t="shared" si="0"/>
        <v/>
      </c>
      <c r="H11" s="14" t="s">
        <v>11</v>
      </c>
      <c r="I11" s="14"/>
      <c r="J11" s="14"/>
      <c r="K11" s="14"/>
      <c r="L11" s="14"/>
    </row>
    <row r="12" spans="1:25" x14ac:dyDescent="0.25">
      <c r="A12">
        <v>7</v>
      </c>
      <c r="D12" s="3" t="str">
        <f t="shared" si="1"/>
        <v/>
      </c>
      <c r="E12" t="str">
        <f t="shared" ca="1" si="2"/>
        <v/>
      </c>
      <c r="G12" t="str">
        <f t="shared" si="0"/>
        <v/>
      </c>
      <c r="H12" s="15" t="s">
        <v>12</v>
      </c>
      <c r="I12" s="15"/>
      <c r="J12" s="15"/>
      <c r="K12" s="15"/>
      <c r="L12" s="15"/>
    </row>
    <row r="13" spans="1:25" x14ac:dyDescent="0.25">
      <c r="A13">
        <v>8</v>
      </c>
      <c r="D13" s="3" t="str">
        <f t="shared" si="1"/>
        <v/>
      </c>
      <c r="E13" t="str">
        <f t="shared" ca="1" si="2"/>
        <v/>
      </c>
      <c r="G13" t="str">
        <f t="shared" si="0"/>
        <v/>
      </c>
    </row>
    <row r="14" spans="1:25" x14ac:dyDescent="0.25">
      <c r="A14">
        <v>9</v>
      </c>
      <c r="D14" s="3" t="str">
        <f t="shared" si="1"/>
        <v/>
      </c>
      <c r="E14" t="str">
        <f t="shared" ca="1" si="2"/>
        <v/>
      </c>
      <c r="G14" t="str">
        <f t="shared" si="0"/>
        <v/>
      </c>
    </row>
    <row r="15" spans="1:25" x14ac:dyDescent="0.25">
      <c r="A15">
        <v>10</v>
      </c>
      <c r="D15" s="3" t="str">
        <f t="shared" si="1"/>
        <v/>
      </c>
      <c r="E15" t="str">
        <f t="shared" ca="1" si="2"/>
        <v/>
      </c>
      <c r="G15" t="str">
        <f t="shared" si="0"/>
        <v/>
      </c>
    </row>
    <row r="16" spans="1:25" x14ac:dyDescent="0.25">
      <c r="A16">
        <v>11</v>
      </c>
      <c r="D16" s="3" t="str">
        <f t="shared" si="1"/>
        <v/>
      </c>
      <c r="E16" t="str">
        <f t="shared" ca="1" si="2"/>
        <v/>
      </c>
      <c r="G16" t="str">
        <f t="shared" si="0"/>
        <v/>
      </c>
    </row>
    <row r="17" spans="1:9" x14ac:dyDescent="0.25">
      <c r="A17">
        <v>12</v>
      </c>
      <c r="D17" s="3" t="str">
        <f t="shared" si="1"/>
        <v/>
      </c>
      <c r="E17" t="str">
        <f t="shared" ca="1" si="2"/>
        <v/>
      </c>
      <c r="G17" t="str">
        <f t="shared" si="0"/>
        <v/>
      </c>
    </row>
    <row r="18" spans="1:9" x14ac:dyDescent="0.25">
      <c r="A18">
        <v>13</v>
      </c>
      <c r="D18" s="3" t="str">
        <f t="shared" si="1"/>
        <v/>
      </c>
      <c r="E18" t="str">
        <f t="shared" ca="1" si="2"/>
        <v/>
      </c>
      <c r="G18" t="str">
        <f t="shared" si="0"/>
        <v/>
      </c>
    </row>
    <row r="19" spans="1:9" x14ac:dyDescent="0.25">
      <c r="A19">
        <v>14</v>
      </c>
      <c r="D19" s="3" t="str">
        <f t="shared" si="1"/>
        <v/>
      </c>
      <c r="E19" t="str">
        <f t="shared" ca="1" si="2"/>
        <v/>
      </c>
      <c r="G19" t="str">
        <f t="shared" si="0"/>
        <v/>
      </c>
      <c r="I19" s="6"/>
    </row>
    <row r="20" spans="1:9" x14ac:dyDescent="0.25">
      <c r="A20">
        <v>15</v>
      </c>
      <c r="D20" s="3" t="str">
        <f t="shared" si="1"/>
        <v/>
      </c>
      <c r="E20" t="str">
        <f t="shared" ca="1" si="2"/>
        <v/>
      </c>
      <c r="G20" t="str">
        <f t="shared" si="0"/>
        <v/>
      </c>
    </row>
    <row r="21" spans="1:9" x14ac:dyDescent="0.25">
      <c r="A21">
        <v>16</v>
      </c>
      <c r="D21" s="3" t="str">
        <f t="shared" si="1"/>
        <v/>
      </c>
      <c r="E21" t="str">
        <f t="shared" ca="1" si="2"/>
        <v/>
      </c>
      <c r="G21" t="str">
        <f t="shared" si="0"/>
        <v/>
      </c>
    </row>
    <row r="22" spans="1:9" x14ac:dyDescent="0.25">
      <c r="A22">
        <v>17</v>
      </c>
      <c r="D22" s="3" t="str">
        <f t="shared" si="1"/>
        <v/>
      </c>
      <c r="E22" t="str">
        <f t="shared" ref="E22:E29" ca="1" si="3">IF(D22="","",IF(D22&lt;TODAY(),"BLUE",IF(D22-TODAY()&lt;=2,"🔴RED",IF(D22-TODAY()&lt;=4,"🟡YELLOW",IF(D22-TODAY()&gt;=5,"🟡GREEN""")))))</f>
        <v/>
      </c>
      <c r="G22" t="str">
        <f t="shared" si="0"/>
        <v/>
      </c>
    </row>
    <row r="23" spans="1:9" x14ac:dyDescent="0.25">
      <c r="A23">
        <v>18</v>
      </c>
      <c r="D23" s="3" t="str">
        <f t="shared" ref="D23:D29" si="4">IF(C23="","",IF(C23="RBC (Red Blood Cells)",DATE(VALUE(RIGHT(B23,4)),VALUE(MID(B23,4,2)),VALUE(LEFT(B23,2)))+3,IF(C23="WBC (White Blood Cells)",DATE(VALUE(RIGHT(B23,4)),VALUE(MID(B23,4,2)),VALUE(LEFT(B23,2)))+5,IF(C23="Hemoglobin (Hb)",DATE(VALUE(RIGHT(B23,4)),VALUE(MID(B23,4,2)),VALUE(LEFT(B23,2)))+7,""))))</f>
        <v/>
      </c>
      <c r="E23" t="str">
        <f t="shared" ca="1" si="3"/>
        <v/>
      </c>
      <c r="G23" t="str">
        <f t="shared" si="0"/>
        <v/>
      </c>
    </row>
    <row r="24" spans="1:9" x14ac:dyDescent="0.25">
      <c r="A24">
        <v>19</v>
      </c>
      <c r="D24" s="3" t="str">
        <f t="shared" si="4"/>
        <v/>
      </c>
      <c r="E24" t="str">
        <f t="shared" ca="1" si="3"/>
        <v/>
      </c>
      <c r="G24" t="str">
        <f t="shared" si="0"/>
        <v/>
      </c>
    </row>
    <row r="25" spans="1:9" x14ac:dyDescent="0.25">
      <c r="A25">
        <v>20</v>
      </c>
      <c r="D25" s="3" t="str">
        <f t="shared" si="4"/>
        <v/>
      </c>
      <c r="E25" t="str">
        <f t="shared" ca="1" si="3"/>
        <v/>
      </c>
      <c r="G25" t="str">
        <f t="shared" si="0"/>
        <v/>
      </c>
    </row>
    <row r="26" spans="1:9" x14ac:dyDescent="0.25">
      <c r="A26">
        <v>21</v>
      </c>
      <c r="D26" s="3" t="str">
        <f t="shared" si="4"/>
        <v/>
      </c>
      <c r="E26" t="str">
        <f t="shared" ca="1" si="3"/>
        <v/>
      </c>
      <c r="G26" t="str">
        <f t="shared" si="0"/>
        <v/>
      </c>
    </row>
    <row r="27" spans="1:9" x14ac:dyDescent="0.25">
      <c r="A27">
        <v>22</v>
      </c>
      <c r="D27" s="3" t="str">
        <f t="shared" si="4"/>
        <v/>
      </c>
      <c r="E27" t="str">
        <f t="shared" ca="1" si="3"/>
        <v/>
      </c>
      <c r="G27" t="str">
        <f t="shared" si="0"/>
        <v/>
      </c>
    </row>
    <row r="28" spans="1:9" x14ac:dyDescent="0.25">
      <c r="A28">
        <v>23</v>
      </c>
      <c r="D28" s="3" t="str">
        <f t="shared" si="4"/>
        <v/>
      </c>
      <c r="E28" t="str">
        <f t="shared" ca="1" si="3"/>
        <v/>
      </c>
      <c r="G28" t="str">
        <f t="shared" si="0"/>
        <v/>
      </c>
    </row>
    <row r="29" spans="1:9" x14ac:dyDescent="0.25">
      <c r="A29">
        <v>24</v>
      </c>
      <c r="D29" s="3" t="str">
        <f t="shared" si="4"/>
        <v/>
      </c>
      <c r="E29" t="str">
        <f t="shared" ca="1" si="3"/>
        <v/>
      </c>
      <c r="G29" t="str">
        <f t="shared" si="0"/>
        <v/>
      </c>
    </row>
  </sheetData>
  <mergeCells count="12">
    <mergeCell ref="H10:I10"/>
    <mergeCell ref="J10:L10"/>
    <mergeCell ref="H9:I9"/>
    <mergeCell ref="J9:L9"/>
    <mergeCell ref="H11:L11"/>
    <mergeCell ref="H12:L12"/>
    <mergeCell ref="A4:J4"/>
    <mergeCell ref="H6:L6"/>
    <mergeCell ref="H7:I7"/>
    <mergeCell ref="J7:L7"/>
    <mergeCell ref="H8:I8"/>
    <mergeCell ref="J8:L8"/>
  </mergeCells>
  <phoneticPr fontId="10" type="noConversion"/>
  <conditionalFormatting sqref="E5:E29">
    <cfRule type="containsText" dxfId="11" priority="5" operator="containsText" text="BLUE">
      <formula>NOT(ISERROR(SEARCH("BLUE",E5)))</formula>
    </cfRule>
    <cfRule type="containsText" dxfId="10" priority="6" operator="containsText" text="GREEN">
      <formula>NOT(ISERROR(SEARCH("GREEN",E5)))</formula>
    </cfRule>
    <cfRule type="containsText" dxfId="9" priority="7" operator="containsText" text="YELLOW">
      <formula>NOT(ISERROR(SEARCH("YELLOW",E5)))</formula>
    </cfRule>
    <cfRule type="containsText" dxfId="8" priority="8" operator="containsText" text="RED">
      <formula>NOT(ISERROR(SEARCH("RED",E5)))</formula>
    </cfRule>
  </conditionalFormatting>
  <dataValidations count="1">
    <dataValidation type="list" allowBlank="1" showInputMessage="1" showErrorMessage="1" sqref="C6:C29 I19" xr:uid="{884FC9D0-6FE0-4AC6-BEDE-0521ED4DCBBF}">
      <formula1>"RBC (Red Blood Cells),WBC (White Blood Cells),Hemoglobin (Hb)"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1FC9-2EBA-409A-BBCA-C2B7C75B8ECF}">
  <sheetPr>
    <tabColor theme="9"/>
  </sheetPr>
  <dimension ref="A1:L23"/>
  <sheetViews>
    <sheetView topLeftCell="A10" zoomScale="160" zoomScaleNormal="160" workbookViewId="0">
      <selection activeCell="E25" sqref="E25"/>
    </sheetView>
  </sheetViews>
  <sheetFormatPr defaultRowHeight="15" x14ac:dyDescent="0.25"/>
  <cols>
    <col min="2" max="2" width="11" customWidth="1"/>
    <col min="3" max="3" width="23.140625" bestFit="1" customWidth="1"/>
    <col min="4" max="4" width="14.140625" customWidth="1"/>
    <col min="5" max="5" width="12.85546875" customWidth="1"/>
    <col min="6" max="6" width="12.42578125" customWidth="1"/>
    <col min="12" max="12" width="67.28515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" x14ac:dyDescent="0.35">
      <c r="A4" s="25" t="s">
        <v>28</v>
      </c>
      <c r="B4" s="25"/>
      <c r="C4" s="25"/>
      <c r="D4" s="25"/>
      <c r="E4" s="25"/>
      <c r="F4" s="25"/>
      <c r="G4" s="25"/>
      <c r="H4" s="25"/>
      <c r="I4" s="25"/>
      <c r="J4" s="25"/>
      <c r="K4" s="5"/>
      <c r="L4" s="5"/>
    </row>
    <row r="5" spans="1:12" x14ac:dyDescent="0.25">
      <c r="A5" t="s">
        <v>1</v>
      </c>
      <c r="B5" t="s">
        <v>2</v>
      </c>
      <c r="C5" t="s">
        <v>5</v>
      </c>
      <c r="D5" t="s">
        <v>3</v>
      </c>
      <c r="E5" t="s">
        <v>4</v>
      </c>
      <c r="G5" s="14" t="s">
        <v>7</v>
      </c>
      <c r="H5" s="14"/>
      <c r="I5" s="14"/>
      <c r="J5" s="14"/>
      <c r="K5" s="14"/>
    </row>
    <row r="6" spans="1:12" x14ac:dyDescent="0.25">
      <c r="A6">
        <v>1</v>
      </c>
      <c r="B6" s="3" t="s">
        <v>16</v>
      </c>
      <c r="C6" t="s">
        <v>30</v>
      </c>
      <c r="D6" s="3">
        <f>IF(C6="","",IF(C6="Squat",DATE(VALUE(RIGHT(B6,4)),VALUE(MID(B6,4,2)),VALUE(LEFT(B6,2)))+3,IF(C6="Bench Press",DATE(VALUE(RIGHT(B6,4)),VALUE(MID(B6,4,2)),VALUE(LEFT(B6,2)))+5,IF(C6="Deadlift",DATE(VALUE(RIGHT(B6,4)),VALUE(MID(B6,4,2)),VALUE(LEFT(B6,2)))+7,""))))</f>
        <v>46265</v>
      </c>
      <c r="E6" t="str">
        <f t="shared" ref="E6:E23" ca="1" si="0">IF(D6="","",IF(D6&lt;TODAY(),"BLUE",IF(D6-TODAY()&lt;=2,"🔴RED",IF(D6-TODAY()&lt;=4,"🟡YELLOW",IF(D6-TODAY()&gt;=5,"🟡GREEN""")))))</f>
        <v>BLUE</v>
      </c>
      <c r="G6" s="17" t="s">
        <v>8</v>
      </c>
      <c r="H6" s="18"/>
      <c r="I6" s="19" t="s">
        <v>20</v>
      </c>
      <c r="J6" s="13"/>
      <c r="K6" s="13"/>
    </row>
    <row r="7" spans="1:12" x14ac:dyDescent="0.25">
      <c r="A7">
        <v>2</v>
      </c>
      <c r="B7" s="3" t="s">
        <v>15</v>
      </c>
      <c r="C7" t="s">
        <v>31</v>
      </c>
      <c r="D7" s="3">
        <f t="shared" ref="D7:D23" si="1">IF(C7="","",IF(C7="Squat",DATE(VALUE(RIGHT(B7,4)),VALUE(MID(B7,4,2)),VALUE(LEFT(B7,2)))+3,IF(C7="Bench Press",DATE(VALUE(RIGHT(B7,4)),VALUE(MID(B7,4,2)),VALUE(LEFT(B7,2)))+5,IF(C7="Deadlift",DATE(VALUE(RIGHT(B7,4)),VALUE(MID(B7,4,2)),VALUE(LEFT(B7,2)))+7,""))))</f>
        <v>46274</v>
      </c>
      <c r="E7" t="str">
        <f t="shared" ca="1" si="0"/>
        <v>🟡YELLOW</v>
      </c>
      <c r="G7" s="21" t="s">
        <v>9</v>
      </c>
      <c r="H7" s="22"/>
      <c r="I7" s="19" t="s">
        <v>19</v>
      </c>
      <c r="J7" s="13"/>
      <c r="K7" s="13"/>
    </row>
    <row r="8" spans="1:12" x14ac:dyDescent="0.25">
      <c r="A8">
        <v>3</v>
      </c>
      <c r="B8" s="3"/>
      <c r="D8" s="3"/>
      <c r="G8" s="10" t="s">
        <v>10</v>
      </c>
      <c r="H8" s="11"/>
      <c r="I8" s="12" t="s">
        <v>18</v>
      </c>
      <c r="J8" s="13"/>
      <c r="K8" s="13"/>
    </row>
    <row r="9" spans="1:12" x14ac:dyDescent="0.25">
      <c r="A9">
        <v>4</v>
      </c>
      <c r="B9" s="3"/>
      <c r="D9" s="3"/>
      <c r="G9" s="23" t="s">
        <v>17</v>
      </c>
      <c r="H9" s="24"/>
      <c r="I9" s="26" t="s">
        <v>33</v>
      </c>
      <c r="J9" s="27"/>
      <c r="K9" s="27"/>
      <c r="L9" s="27"/>
    </row>
    <row r="10" spans="1:12" x14ac:dyDescent="0.25">
      <c r="A10">
        <v>5</v>
      </c>
      <c r="B10" s="3"/>
      <c r="D10" s="3"/>
      <c r="G10" s="14" t="s">
        <v>11</v>
      </c>
      <c r="H10" s="14"/>
      <c r="I10" s="14"/>
      <c r="J10" s="14"/>
      <c r="K10" s="14"/>
    </row>
    <row r="11" spans="1:12" x14ac:dyDescent="0.25">
      <c r="A11">
        <v>6</v>
      </c>
      <c r="D11" s="3" t="str">
        <f t="shared" si="1"/>
        <v/>
      </c>
      <c r="E11" t="str">
        <f t="shared" ca="1" si="0"/>
        <v/>
      </c>
      <c r="G11" s="15" t="s">
        <v>12</v>
      </c>
      <c r="H11" s="15"/>
      <c r="I11" s="15"/>
      <c r="J11" s="15"/>
      <c r="K11" s="15"/>
    </row>
    <row r="12" spans="1:12" x14ac:dyDescent="0.25">
      <c r="A12">
        <v>7</v>
      </c>
      <c r="D12" s="3" t="str">
        <f t="shared" si="1"/>
        <v/>
      </c>
      <c r="E12" t="str">
        <f t="shared" ca="1" si="0"/>
        <v/>
      </c>
    </row>
    <row r="13" spans="1:12" x14ac:dyDescent="0.25">
      <c r="A13">
        <v>8</v>
      </c>
      <c r="D13" s="3" t="str">
        <f t="shared" si="1"/>
        <v/>
      </c>
      <c r="E13" t="str">
        <f t="shared" ca="1" si="0"/>
        <v/>
      </c>
    </row>
    <row r="14" spans="1:12" x14ac:dyDescent="0.25">
      <c r="A14">
        <v>9</v>
      </c>
      <c r="D14" s="3" t="str">
        <f t="shared" si="1"/>
        <v/>
      </c>
      <c r="E14" t="str">
        <f t="shared" ca="1" si="0"/>
        <v/>
      </c>
    </row>
    <row r="15" spans="1:12" x14ac:dyDescent="0.25">
      <c r="A15">
        <v>10</v>
      </c>
      <c r="D15" s="3" t="str">
        <f t="shared" si="1"/>
        <v/>
      </c>
      <c r="E15" t="str">
        <f t="shared" ca="1" si="0"/>
        <v/>
      </c>
    </row>
    <row r="16" spans="1:12" x14ac:dyDescent="0.25">
      <c r="A16">
        <v>11</v>
      </c>
      <c r="D16" s="3" t="str">
        <f t="shared" si="1"/>
        <v/>
      </c>
      <c r="E16" t="str">
        <f t="shared" ca="1" si="0"/>
        <v/>
      </c>
    </row>
    <row r="17" spans="1:5" x14ac:dyDescent="0.25">
      <c r="A17">
        <v>12</v>
      </c>
      <c r="D17" s="3" t="str">
        <f t="shared" si="1"/>
        <v/>
      </c>
      <c r="E17" t="str">
        <f t="shared" ca="1" si="0"/>
        <v/>
      </c>
    </row>
    <row r="18" spans="1:5" x14ac:dyDescent="0.25">
      <c r="A18">
        <v>13</v>
      </c>
      <c r="D18" s="3" t="str">
        <f t="shared" si="1"/>
        <v/>
      </c>
      <c r="E18" t="str">
        <f t="shared" ca="1" si="0"/>
        <v/>
      </c>
    </row>
    <row r="19" spans="1:5" x14ac:dyDescent="0.25">
      <c r="A19">
        <v>14</v>
      </c>
      <c r="D19" s="3" t="str">
        <f t="shared" si="1"/>
        <v/>
      </c>
      <c r="E19" t="str">
        <f t="shared" ca="1" si="0"/>
        <v/>
      </c>
    </row>
    <row r="20" spans="1:5" x14ac:dyDescent="0.25">
      <c r="A20">
        <v>15</v>
      </c>
      <c r="D20" s="3" t="str">
        <f t="shared" si="1"/>
        <v/>
      </c>
      <c r="E20" t="str">
        <f t="shared" ca="1" si="0"/>
        <v/>
      </c>
    </row>
    <row r="21" spans="1:5" x14ac:dyDescent="0.25">
      <c r="A21">
        <v>16</v>
      </c>
      <c r="D21" s="3" t="str">
        <f t="shared" si="1"/>
        <v/>
      </c>
      <c r="E21" t="str">
        <f t="shared" ca="1" si="0"/>
        <v/>
      </c>
    </row>
    <row r="22" spans="1:5" x14ac:dyDescent="0.25">
      <c r="A22">
        <v>17</v>
      </c>
      <c r="D22" s="3" t="str">
        <f t="shared" si="1"/>
        <v/>
      </c>
      <c r="E22" t="str">
        <f t="shared" ca="1" si="0"/>
        <v/>
      </c>
    </row>
    <row r="23" spans="1:5" x14ac:dyDescent="0.25">
      <c r="A23">
        <v>18</v>
      </c>
      <c r="D23" s="3" t="str">
        <f t="shared" si="1"/>
        <v/>
      </c>
      <c r="E23" t="str">
        <f t="shared" ca="1" si="0"/>
        <v/>
      </c>
    </row>
  </sheetData>
  <mergeCells count="12">
    <mergeCell ref="G8:H8"/>
    <mergeCell ref="I8:K8"/>
    <mergeCell ref="G10:K10"/>
    <mergeCell ref="G11:K11"/>
    <mergeCell ref="A4:J4"/>
    <mergeCell ref="G5:K5"/>
    <mergeCell ref="G6:H6"/>
    <mergeCell ref="I6:K6"/>
    <mergeCell ref="G7:H7"/>
    <mergeCell ref="I7:K7"/>
    <mergeCell ref="G9:H9"/>
    <mergeCell ref="I9:L9"/>
  </mergeCells>
  <phoneticPr fontId="10" type="noConversion"/>
  <conditionalFormatting sqref="E5:E23">
    <cfRule type="containsText" dxfId="7" priority="1" operator="containsText" text="BLUE">
      <formula>NOT(ISERROR(SEARCH("BLUE",E5)))</formula>
    </cfRule>
    <cfRule type="containsText" dxfId="6" priority="2" operator="containsText" text="GREEN">
      <formula>NOT(ISERROR(SEARCH("GREEN",E5)))</formula>
    </cfRule>
    <cfRule type="containsText" dxfId="5" priority="3" operator="containsText" text="YELLOW">
      <formula>NOT(ISERROR(SEARCH("YELLOW",E5)))</formula>
    </cfRule>
    <cfRule type="containsText" dxfId="4" priority="4" operator="containsText" text="RED">
      <formula>NOT(ISERROR(SEARCH("RED",E5)))</formula>
    </cfRule>
  </conditionalFormatting>
  <dataValidations count="1">
    <dataValidation type="list" allowBlank="1" showInputMessage="1" showErrorMessage="1" sqref="C1:C1048576" xr:uid="{42D60012-3762-4B91-B52D-8D6B80CFA57E}">
      <formula1>"Squat,Bench Press,Deadlift"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36EC-B959-45B8-965C-A06B61ABD78E}">
  <dimension ref="A1:L21"/>
  <sheetViews>
    <sheetView topLeftCell="A7" zoomScale="160" zoomScaleNormal="160" workbookViewId="0">
      <selection activeCell="A22" sqref="A22:XFD1048576"/>
    </sheetView>
  </sheetViews>
  <sheetFormatPr defaultRowHeight="15" x14ac:dyDescent="0.25"/>
  <cols>
    <col min="2" max="2" width="10.7109375" customWidth="1"/>
    <col min="3" max="3" width="23.140625" bestFit="1" customWidth="1"/>
    <col min="4" max="4" width="11.85546875" bestFit="1" customWidth="1"/>
    <col min="5" max="5" width="11" bestFit="1" customWidth="1"/>
    <col min="12" max="12" width="54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" x14ac:dyDescent="0.35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9"/>
      <c r="L4" s="9"/>
    </row>
    <row r="5" spans="1:12" x14ac:dyDescent="0.25">
      <c r="A5" t="s">
        <v>1</v>
      </c>
      <c r="B5" t="s">
        <v>2</v>
      </c>
      <c r="C5" t="s">
        <v>5</v>
      </c>
      <c r="D5" t="s">
        <v>3</v>
      </c>
      <c r="E5" t="s">
        <v>4</v>
      </c>
      <c r="F5" t="s">
        <v>6</v>
      </c>
      <c r="H5" s="3"/>
    </row>
    <row r="6" spans="1:12" x14ac:dyDescent="0.25">
      <c r="A6">
        <v>1</v>
      </c>
      <c r="B6" s="3" t="s">
        <v>16</v>
      </c>
      <c r="C6" t="s">
        <v>13</v>
      </c>
      <c r="D6" s="3">
        <f>IF(C6="","",IF(C6="RBC (Red Blood Cells)",DATE(VALUE(RIGHT(B6,4)),VALUE(MID(B6,4,2)),VALUE(LEFT(B6,2)))+3,IF(C6="WBC (White Blood Cells)",DATE(VALUE(RIGHT(B6,4)),VALUE(MID(B6,4,2)),VALUE(LEFT(B6,2)))+5,IF(C6="Hemoglobin (Hb)",DATE(VALUE(RIGHT(B6,4)),VALUE(MID(B6,4,2)),VALUE(LEFT(B6,2)))+7,""))))</f>
        <v>46265</v>
      </c>
      <c r="E6" t="str">
        <f ca="1">IF(D6="","",IF(D6&lt;TODAY(),"🟡BLUE",IF(D6-TODAY()&lt;=2,"🔴RED",IF(D6-TODAY()&lt;=4,"🟡YELLOW",IF(D6-TODAY()&gt;=5,"🟡GREEN""")))))</f>
        <v>🟡BLUE</v>
      </c>
      <c r="H6" s="14" t="s">
        <v>7</v>
      </c>
      <c r="I6" s="14"/>
      <c r="J6" s="14"/>
      <c r="K6" s="14"/>
      <c r="L6" s="14"/>
    </row>
    <row r="7" spans="1:12" x14ac:dyDescent="0.25">
      <c r="A7">
        <v>2</v>
      </c>
      <c r="B7" s="3"/>
      <c r="D7" s="3"/>
      <c r="H7" s="17" t="s">
        <v>8</v>
      </c>
      <c r="I7" s="18"/>
      <c r="J7" s="19" t="s">
        <v>20</v>
      </c>
      <c r="K7" s="13"/>
      <c r="L7" s="13"/>
    </row>
    <row r="8" spans="1:12" x14ac:dyDescent="0.25">
      <c r="A8">
        <v>3</v>
      </c>
      <c r="B8" s="3"/>
      <c r="D8" s="3"/>
      <c r="H8" s="21" t="s">
        <v>9</v>
      </c>
      <c r="I8" s="22"/>
      <c r="J8" s="19" t="s">
        <v>19</v>
      </c>
      <c r="K8" s="13"/>
      <c r="L8" s="13"/>
    </row>
    <row r="9" spans="1:12" x14ac:dyDescent="0.25">
      <c r="A9">
        <v>4</v>
      </c>
      <c r="B9" s="3"/>
      <c r="D9" s="3"/>
      <c r="H9" s="10" t="s">
        <v>10</v>
      </c>
      <c r="I9" s="11"/>
      <c r="J9" s="12" t="s">
        <v>18</v>
      </c>
      <c r="K9" s="13"/>
      <c r="L9" s="13"/>
    </row>
    <row r="10" spans="1:12" x14ac:dyDescent="0.25">
      <c r="A10">
        <v>5</v>
      </c>
      <c r="B10" s="3"/>
      <c r="D10" s="3"/>
      <c r="H10" s="23" t="s">
        <v>17</v>
      </c>
      <c r="I10" s="24"/>
      <c r="J10" s="29" t="s">
        <v>32</v>
      </c>
      <c r="K10" s="30"/>
      <c r="L10" s="30"/>
    </row>
    <row r="11" spans="1:12" x14ac:dyDescent="0.25">
      <c r="A11">
        <v>6</v>
      </c>
      <c r="D11" s="3" t="str">
        <f t="shared" ref="D11:D21" si="0">IF(C11="","",IF(C11="RBC (Red Blood Cells)",DATE(VALUE(RIGHT(B11,4)),VALUE(MID(B11,4,2)),VALUE(LEFT(B11,2)))+3,IF(C11="WBC (White Blood Cells)",DATE(VALUE(RIGHT(B11,4)),VALUE(MID(B11,4,2)),VALUE(LEFT(B11,2)))+5,IF(C11="Hemoglobin (Hb)",DATE(VALUE(RIGHT(B11,4)),VALUE(MID(B11,4,2)),VALUE(LEFT(B11,2)))+7,""))))</f>
        <v/>
      </c>
      <c r="E11" t="str">
        <f t="shared" ref="E11:E21" ca="1" si="1">IF(D11="","",IF(D11&lt;TODAY(),"BLUE",IF(D11-TODAY()&lt;=2,"🔴RED",IF(D11-TODAY()&lt;=4,"🟡YELLOW",IF(D11-TODAY()&gt;=5,"🟡GREEN""")))))</f>
        <v/>
      </c>
      <c r="H11" s="14" t="s">
        <v>11</v>
      </c>
      <c r="I11" s="14"/>
      <c r="J11" s="14"/>
      <c r="K11" s="14"/>
      <c r="L11" s="14"/>
    </row>
    <row r="12" spans="1:12" x14ac:dyDescent="0.25">
      <c r="A12">
        <v>7</v>
      </c>
      <c r="D12" s="3" t="str">
        <f t="shared" si="0"/>
        <v/>
      </c>
      <c r="E12" t="str">
        <f t="shared" ca="1" si="1"/>
        <v/>
      </c>
      <c r="H12" s="15" t="s">
        <v>12</v>
      </c>
      <c r="I12" s="15"/>
      <c r="J12" s="15"/>
      <c r="K12" s="15"/>
      <c r="L12" s="15"/>
    </row>
    <row r="13" spans="1:12" x14ac:dyDescent="0.25">
      <c r="A13">
        <v>8</v>
      </c>
      <c r="D13" s="3" t="str">
        <f t="shared" si="0"/>
        <v/>
      </c>
      <c r="E13" t="str">
        <f t="shared" ca="1" si="1"/>
        <v/>
      </c>
    </row>
    <row r="14" spans="1:12" x14ac:dyDescent="0.25">
      <c r="A14">
        <v>9</v>
      </c>
      <c r="D14" s="3" t="str">
        <f t="shared" si="0"/>
        <v/>
      </c>
      <c r="E14" t="str">
        <f t="shared" ca="1" si="1"/>
        <v/>
      </c>
    </row>
    <row r="15" spans="1:12" x14ac:dyDescent="0.25">
      <c r="A15">
        <v>10</v>
      </c>
      <c r="D15" s="3" t="str">
        <f t="shared" si="0"/>
        <v/>
      </c>
      <c r="E15" t="str">
        <f t="shared" ca="1" si="1"/>
        <v/>
      </c>
    </row>
    <row r="16" spans="1:12" x14ac:dyDescent="0.25">
      <c r="A16">
        <v>11</v>
      </c>
      <c r="D16" s="3" t="str">
        <f t="shared" si="0"/>
        <v/>
      </c>
      <c r="E16" t="str">
        <f t="shared" ca="1" si="1"/>
        <v/>
      </c>
    </row>
    <row r="17" spans="1:5" x14ac:dyDescent="0.25">
      <c r="A17">
        <v>12</v>
      </c>
      <c r="D17" s="3" t="str">
        <f t="shared" si="0"/>
        <v/>
      </c>
      <c r="E17" t="str">
        <f t="shared" ca="1" si="1"/>
        <v/>
      </c>
    </row>
    <row r="18" spans="1:5" x14ac:dyDescent="0.25">
      <c r="A18">
        <v>13</v>
      </c>
      <c r="D18" s="3" t="str">
        <f t="shared" si="0"/>
        <v/>
      </c>
      <c r="E18" t="str">
        <f t="shared" ca="1" si="1"/>
        <v/>
      </c>
    </row>
    <row r="19" spans="1:5" x14ac:dyDescent="0.25">
      <c r="A19">
        <v>14</v>
      </c>
      <c r="D19" s="3" t="str">
        <f t="shared" si="0"/>
        <v/>
      </c>
      <c r="E19" t="str">
        <f t="shared" ca="1" si="1"/>
        <v/>
      </c>
    </row>
    <row r="20" spans="1:5" x14ac:dyDescent="0.25">
      <c r="A20">
        <v>15</v>
      </c>
      <c r="D20" s="3" t="str">
        <f t="shared" si="0"/>
        <v/>
      </c>
      <c r="E20" t="str">
        <f t="shared" ca="1" si="1"/>
        <v/>
      </c>
    </row>
    <row r="21" spans="1:5" x14ac:dyDescent="0.25">
      <c r="A21">
        <v>16</v>
      </c>
      <c r="D21" s="3" t="str">
        <f t="shared" si="0"/>
        <v/>
      </c>
      <c r="E21" t="str">
        <f t="shared" ca="1" si="1"/>
        <v/>
      </c>
    </row>
  </sheetData>
  <mergeCells count="12">
    <mergeCell ref="H9:I9"/>
    <mergeCell ref="J9:L9"/>
    <mergeCell ref="H11:L11"/>
    <mergeCell ref="H12:L12"/>
    <mergeCell ref="A4:J4"/>
    <mergeCell ref="H6:L6"/>
    <mergeCell ref="H7:I7"/>
    <mergeCell ref="J7:L7"/>
    <mergeCell ref="H8:I8"/>
    <mergeCell ref="J8:L8"/>
    <mergeCell ref="H10:I10"/>
    <mergeCell ref="J10:L10"/>
  </mergeCells>
  <conditionalFormatting sqref="E5:E21">
    <cfRule type="containsText" dxfId="3" priority="1" operator="containsText" text="BLUE">
      <formula>NOT(ISERROR(SEARCH("BLUE",E5)))</formula>
    </cfRule>
    <cfRule type="containsText" dxfId="2" priority="2" operator="containsText" text="GREEN">
      <formula>NOT(ISERROR(SEARCH("GREEN",E5)))</formula>
    </cfRule>
    <cfRule type="containsText" dxfId="1" priority="3" operator="containsText" text="YELLOW">
      <formula>NOT(ISERROR(SEARCH("YELLOW",E5)))</formula>
    </cfRule>
    <cfRule type="containsText" dxfId="0" priority="4" operator="containsText" text="RED">
      <formula>NOT(ISERROR(SEARCH("RED",E5)))</formula>
    </cfRule>
  </conditionalFormatting>
  <dataValidations count="1">
    <dataValidation type="list" allowBlank="1" showInputMessage="1" showErrorMessage="1" sqref="C6:C21" xr:uid="{2068CC37-B5B7-434D-A7E0-021399C67A88}">
      <formula1>"RBC (Red Blood Cells),WBC (White Blood Cells),Hemoglobin (Hb)"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CBC</vt:lpstr>
      <vt:lpstr>FITNESS GOAL</vt:lpstr>
      <vt:lpstr>Vitamin and Mineral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S-A-M -R-U-T-I</dc:creator>
  <cp:lastModifiedBy>S-A-M -R-U-T-I</cp:lastModifiedBy>
  <dcterms:created xsi:type="dcterms:W3CDTF">2026-09-05T15:58:06Z</dcterms:created>
  <dcterms:modified xsi:type="dcterms:W3CDTF">2026-09-06T16:31:46Z</dcterms:modified>
</cp:coreProperties>
</file>